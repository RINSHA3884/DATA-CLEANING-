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5A4009A-DDEC-45E1-98D1-BBF98144EC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B15" i="2"/>
  <c r="B6" i="2"/>
  <c r="B13" i="2"/>
  <c r="B22" i="2"/>
  <c r="B24" i="2"/>
  <c r="B26" i="2"/>
  <c r="B3" i="2"/>
  <c r="B4" i="2"/>
  <c r="B28" i="2"/>
  <c r="B9" i="2"/>
  <c r="B23" i="2"/>
  <c r="B29" i="2"/>
  <c r="B8" i="2"/>
  <c r="B27" i="2"/>
  <c r="B11" i="2"/>
  <c r="B17" i="2"/>
  <c r="B19" i="2"/>
  <c r="B21" i="2"/>
  <c r="B2" i="2"/>
  <c r="B5" i="2"/>
  <c r="B20" i="2"/>
  <c r="B18" i="2"/>
  <c r="B7" i="2"/>
  <c r="B14" i="2"/>
  <c r="B25" i="2"/>
  <c r="B10" i="2"/>
  <c r="B16" i="2"/>
  <c r="B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3C38C-507B-4B9D-9EC9-83DF86078373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<sst xmlns="http://schemas.openxmlformats.org/spreadsheetml/2006/main" count="151" uniqueCount="122">
  <si>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</si>
  <si>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</si>
  <si>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</si>
  <si>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</si>
  <si>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</si>
  <si>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</si>
  <si>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</si>
  <si>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</si>
  <si>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</si>
  <si>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</si>
  <si>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</si>
  <si>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</si>
  <si>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</si>
  <si>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</si>
  <si>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</si>
  <si>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</si>
  <si>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</si>
  <si>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</si>
  <si>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</si>
  <si>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</si>
  <si>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</si>
  <si>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</si>
  <si>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</si>
  <si>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</si>
  <si>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</si>
  <si>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</si>
  <si>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</si>
  <si>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</si>
  <si>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</si>
  <si>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Nike</t>
  </si>
  <si>
    <t>Fashion</t>
  </si>
  <si>
    <t>03-MAR-US</t>
  </si>
  <si>
    <t>Keurig</t>
  </si>
  <si>
    <t>Kitchen</t>
  </si>
  <si>
    <t>11-APR-US</t>
  </si>
  <si>
    <t>Samsung</t>
  </si>
  <si>
    <t>22-MAY-US</t>
  </si>
  <si>
    <t>North Face</t>
  </si>
  <si>
    <t>19-JUL-UK</t>
  </si>
  <si>
    <t>Adidas</t>
  </si>
  <si>
    <t>23-AUG-UK</t>
  </si>
  <si>
    <t>Ninja</t>
  </si>
  <si>
    <t>05-SEP-UK</t>
  </si>
  <si>
    <t>Apple</t>
  </si>
  <si>
    <t>14-OCT-UK</t>
  </si>
  <si>
    <t>Timberland</t>
  </si>
  <si>
    <t>Outdoor</t>
  </si>
  <si>
    <t>17-JUN-IN</t>
  </si>
  <si>
    <t>HP</t>
  </si>
  <si>
    <t>25-NOV-AU</t>
  </si>
  <si>
    <t>08-DEC-DE</t>
  </si>
  <si>
    <t>Nespresso</t>
  </si>
  <si>
    <t>18-FEB-CA</t>
  </si>
  <si>
    <t>Fitbit</t>
  </si>
  <si>
    <t>16-APR-ES</t>
  </si>
  <si>
    <t>Bose</t>
  </si>
  <si>
    <t>21-AUG-CA</t>
  </si>
  <si>
    <t>Samsonite</t>
  </si>
  <si>
    <t>Accessories</t>
  </si>
  <si>
    <t>20-AUG-CN</t>
  </si>
  <si>
    <t>Huawei</t>
  </si>
  <si>
    <t>27-JAN-IT</t>
  </si>
  <si>
    <t>Asus</t>
  </si>
  <si>
    <t>01-MAR-UK</t>
  </si>
  <si>
    <t>Oakley</t>
  </si>
  <si>
    <t>14-MAY-RU</t>
  </si>
  <si>
    <t>Nikon</t>
  </si>
  <si>
    <t>09-JAN-CA</t>
  </si>
  <si>
    <t>Panasonic</t>
  </si>
  <si>
    <t>19-JUL-BR</t>
  </si>
  <si>
    <t>Xiaomi</t>
  </si>
  <si>
    <t>29-SEP-CA</t>
  </si>
  <si>
    <t>Google</t>
  </si>
  <si>
    <t>11-JUL-CA</t>
  </si>
  <si>
    <t>Vitamix</t>
  </si>
  <si>
    <t>07-MAR-CA</t>
  </si>
  <si>
    <t>Zara</t>
  </si>
  <si>
    <t>13-APR-CA</t>
  </si>
  <si>
    <t>Hamilton</t>
  </si>
  <si>
    <t>24-MAY-CA</t>
  </si>
  <si>
    <t>Garmin</t>
  </si>
  <si>
    <t>02-DEC-CA</t>
  </si>
  <si>
    <t>Levi's</t>
  </si>
  <si>
    <t>09-JUL-FR</t>
  </si>
  <si>
    <t>Casio</t>
  </si>
  <si>
    <t>ans) yes,There are three missing values in price column.Since its only 3 missing values,it</t>
  </si>
  <si>
    <t xml:space="preserve">lues it’s a reasonable approach to </t>
  </si>
  <si>
    <t>delete the rows with missing price values.</t>
  </si>
  <si>
    <t>yes,There are 4 missing values under catogories.I would use the product name to determine the most appropriate category.</t>
  </si>
  <si>
    <t>yes,found 3 duplicate rows.</t>
  </si>
  <si>
    <t>manufacturing date</t>
  </si>
  <si>
    <t>COUNTRY CODE</t>
  </si>
  <si>
    <t>PRODUCT BAND</t>
  </si>
  <si>
    <t>Dell Laptop</t>
  </si>
  <si>
    <t>Nike Sneakers</t>
  </si>
  <si>
    <t>Keurig Coffee Maker</t>
  </si>
  <si>
    <t>Samsung Smartphone</t>
  </si>
  <si>
    <t>North Face Backpack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</si>
  <si>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</si>
  <si>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</si>
  <si>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</si>
  <si>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</si>
  <si>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</si>
  <si>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</si>
  <si>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</si>
  <si>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</si>
  <si>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</si>
  <si>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</si>
  <si>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</si>
  <si>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</si>
  <si>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</si>
  <si>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Nikon Camera</t>
  </si>
  <si>
    <t>Panasonic Microwave</t>
  </si>
  <si>
    <t>Xiaomi Fitness Tracker</t>
  </si>
  <si>
    <t>Google Smartphone</t>
  </si>
  <si>
    <t>Vitamix Blender</t>
  </si>
  <si>
    <t>Zara Dress</t>
  </si>
  <si>
    <t>Hamilton Toaster</t>
  </si>
  <si>
    <t>Garmin Fitness Tracker</t>
  </si>
  <si>
    <t>Levi's Jeans</t>
  </si>
  <si>
    <t>Casio Watch</t>
  </si>
  <si>
    <t xml:space="preserve">es it’s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</si>
</sst>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dd/mm/yyyy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Times New Roman"/>
      <family val="1"/>
    </font>
    <font>
      <sz val="10"/>
      <color rgb="FFFF0000"/>
      <name val="Arial"/>
      <family val="2"/>
      <scheme val="minor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3" borderId="0" xfId="0" applyFont="1" applyFill="1"/>
    <xf numFmtId="0" fontId="9" fillId="2" borderId="0" xfId="0" applyFont="1" applyFill="1" applyAlignment="1">
      <alignment horizontal="center"/>
    </xf>
    <xf numFmtId="0" fontId="8" fillId="0" borderId="0" xfId="0" applyFont="1"/>
    <xf numFmtId="0" fontId="8" fillId="3" borderId="1" xfId="0" applyFont="1" applyFill="1" applyBorder="1"/>
    <xf numFmtId="164" fontId="5" fillId="0" borderId="0" xfId="0" applyNumberFormat="1" applyFont="1"/>
    <xf numFmtId="164" fontId="5" fillId="3" borderId="0" xfId="0" applyNumberFormat="1" applyFont="1" applyFill="1"/>
    <xf numFmtId="165" fontId="8" fillId="3" borderId="0" xfId="0" applyNumberFormat="1" applyFont="1" applyFill="1"/>
    <xf numFmtId="165" fontId="8" fillId="0" borderId="0" xfId="0" applyNumberFormat="1" applyFont="1"/>
    <xf numFmtId="0" fontId="11" fillId="4" borderId="0" xfId="0" applyFont="1" applyFill="1"/>
    <xf numFmtId="0" fontId="12" fillId="4" borderId="0" xfId="0" applyFont="1" applyFill="1"/>
    <xf numFmtId="0" fontId="13" fillId="4" borderId="0" xfId="0" applyFont="1" applyFill="1"/>
  </cellXfs>
  <cellStyles count="1">
    <cellStyle name="Normal" xfId="0" builtinId="0"/>
  </cellStyles>
  <dxfs count="12">
    <dxf>
      <fill>
        <patternFill>
          <bgColor theme="8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dd/mm/yyyy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([$$-409]* #,##0.00_);_([$$-409]* \(#,##0.00\);_([$$-409]* &quot;-&quot;??_);_(@_)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64B6D-80B3-458E-B5F3-2E602E6309E3}" name="Table1" displayName="Table1" ref="A1:I29" totalsRowShown="0" headerRowDxfId="11" dataDxfId="10">
  <autoFilter ref="A1:I29" xr:uid="{F5064B6D-80B3-458E-B5F3-2E602E6309E3}"/>
  <tableColumns count="9">
    <tableColumn id="1" xr3:uid="{DD0454A4-F47A-46F9-A5D8-91A9B4035E23}" name="Product ID" dataDxfId="9"/>
    <tableColumn id="2" xr3:uid="{6AEEBDDB-AD38-41F4-829A-547A3BA3E49A}" name="Product Name" dataDxfId="8">
      <calculatedColumnFormula>PROPER(Table1[Product Name])</calculatedColumnFormula>
    </tableColumn>
    <tableColumn id="3" xr3:uid="{BBD9635D-5460-4BB8-9579-2A5A8297FFC2}" name="Brand Name" dataDxfId="7"/>
    <tableColumn id="4" xr3:uid="{A259DDAB-2B8D-4D2F-9EC0-0A8B1692B4C2}" name="Price ($)" dataDxfId="6"/>
    <tableColumn id="5" xr3:uid="{89251A94-9603-41C2-8FD3-9A42F6571D59}" name="Quantity" dataDxfId="5"/>
    <tableColumn id="6" xr3:uid="{B6BD5124-2F7C-4424-B954-1035A4EC8EB7}" name="Category" dataDxfId="4"/>
    <tableColumn id="15" xr3:uid="{87EFCD2A-0353-4A12-B61A-BA1C2A32D969}" name="manufacturing date" dataDxfId="3">
      <calculatedColumnFormula>LEFT(A2,LEN(A2)-3)</calculatedColumnFormula>
    </tableColumn>
    <tableColumn id="16" xr3:uid="{445D1093-8605-43E0-A3EA-ADE29AC3D44C}" name="COUNTRY CODE" dataDxfId="2">
      <calculatedColumnFormula>RIGHT(A2,2)</calculatedColumnFormula>
    </tableColumn>
    <tableColumn id="17" xr3:uid="{B139F2BE-B981-4B67-8389-86DD088B345F}" name="PRODUCT BAN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4" sqref="C4:J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7"/>
  <sheetViews>
    <sheetView tabSelected="1" topLeftCell="A17" workbookViewId="0">
      <selection activeCell="F36" sqref="F36"/>
    </sheetView>
  </sheetViews>
  <sheetFormatPr defaultColWidth="12.6640625" defaultRowHeight="15" customHeight="1" x14ac:dyDescent="0.25"/>
  <cols>
    <col min="1" max="1" width="15" customWidth="1"/>
    <col min="2" max="2" width="15.33203125" customWidth="1"/>
    <col min="3" max="3" width="13.6640625" customWidth="1"/>
    <col min="4" max="6" width="12.6640625" customWidth="1"/>
    <col min="7" max="7" width="20.88671875" customWidth="1"/>
    <col min="8" max="8" width="21.109375" customWidth="1"/>
    <col min="9" max="9" width="21.6640625" customWidth="1"/>
  </cols>
  <sheetData>
    <row r="1" spans="1:9" ht="15.75" customHeight="1" x14ac:dyDescent="0.25">
      <c r="A1" s="10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0" t="s">
        <v>90</v>
      </c>
      <c r="H1" s="10" t="s">
        <v>91</v>
      </c>
      <c r="I1" s="10" t="s">
        <v>92</v>
      </c>
    </row>
    <row r="2" spans="1:9" ht="15.75" customHeight="1" x14ac:dyDescent="0.25">
      <c r="A2" s="16" t="s">
        <v>25</v>
      </c>
      <c r="B2" t="str">
        <f ca="1">PROPER(Table1[Product Name])</f>
        <v>Laptop</v>
      </c>
      <c r="C2" s="5" t="s">
        <v>26</v>
      </c>
      <c r="D2" s="13">
        <v>1000</v>
      </c>
      <c r="E2" s="5">
        <v>30</v>
      </c>
      <c r="F2" s="11" t="s">
        <v>27</v>
      </c>
      <c r="G2" s="15" t="str">
        <f t="shared" ref="G2:G29" si="0">LEFT(A2,LEN(A2)-3)</f>
        <v>28-JAN</v>
      </c>
      <c r="H2" s="9" t="str">
        <f t="shared" ref="H2:H29" si="1">RIGHT(A2,2)</f>
        <v>US</v>
      </c>
      <c r="I2" s="9" t="s">
        <v>93</v>
      </c>
    </row>
    <row r="3" spans="1:9" ht="15.75" customHeight="1" x14ac:dyDescent="0.25">
      <c r="A3" s="8" t="s">
        <v>28</v>
      </c>
      <c r="B3" t="str">
        <f ca="1">PROPER(Table1[Product Name])</f>
        <v>Sneakers</v>
      </c>
      <c r="C3" s="8" t="s">
        <v>29</v>
      </c>
      <c r="D3" s="14">
        <v>80</v>
      </c>
      <c r="E3" s="8">
        <v>15</v>
      </c>
      <c r="F3" s="8" t="s">
        <v>30</v>
      </c>
      <c r="G3" s="15" t="str">
        <f t="shared" si="0"/>
        <v>15-FEB</v>
      </c>
      <c r="H3" s="9" t="str">
        <f t="shared" si="1"/>
        <v>US</v>
      </c>
      <c r="I3" s="9" t="s">
        <v>94</v>
      </c>
    </row>
    <row r="4" spans="1:9" ht="15.75" customHeight="1" x14ac:dyDescent="0.25">
      <c r="A4" s="5" t="s">
        <v>31</v>
      </c>
      <c r="B4" t="str">
        <f ca="1">PROPER(Table1[Product Name])</f>
        <v>Coffee Maker</v>
      </c>
      <c r="C4" s="5" t="s">
        <v>32</v>
      </c>
      <c r="D4" s="13">
        <v>130</v>
      </c>
      <c r="E4" s="5">
        <v>40</v>
      </c>
      <c r="F4" s="5" t="s">
        <v>33</v>
      </c>
      <c r="G4" s="15" t="str">
        <f t="shared" si="0"/>
        <v>03-MAR</v>
      </c>
      <c r="H4" s="9" t="str">
        <f t="shared" si="1"/>
        <v>US</v>
      </c>
      <c r="I4" s="9" t="s">
        <v>95</v>
      </c>
    </row>
    <row r="5" spans="1:9" ht="15.75" customHeight="1" x14ac:dyDescent="0.25">
      <c r="A5" s="8" t="s">
        <v>34</v>
      </c>
      <c r="B5" t="str">
        <f ca="1">PROPER(Table1[Product Name])</f>
        <v>Smartphone</v>
      </c>
      <c r="C5" s="8" t="s">
        <v>35</v>
      </c>
      <c r="D5" s="14">
        <v>900</v>
      </c>
      <c r="E5" s="8">
        <v>25</v>
      </c>
      <c r="F5" s="9" t="s">
        <v>27</v>
      </c>
      <c r="G5" s="15" t="str">
        <f t="shared" si="0"/>
        <v>11-APR</v>
      </c>
      <c r="H5" s="9" t="str">
        <f t="shared" si="1"/>
        <v>US</v>
      </c>
      <c r="I5" s="9" t="s">
        <v>96</v>
      </c>
    </row>
    <row r="6" spans="1:9" ht="15.75" customHeight="1" x14ac:dyDescent="0.25">
      <c r="A6" s="5" t="s">
        <v>36</v>
      </c>
      <c r="B6" t="str">
        <f ca="1">PROPER(Table1[Product Name])</f>
        <v>Backpack</v>
      </c>
      <c r="C6" s="5" t="s">
        <v>37</v>
      </c>
      <c r="D6" s="13">
        <v>70</v>
      </c>
      <c r="E6" s="5">
        <v>20</v>
      </c>
      <c r="F6" s="11" t="s">
        <v>30</v>
      </c>
      <c r="G6" s="15" t="str">
        <f t="shared" si="0"/>
        <v>22-MAY</v>
      </c>
      <c r="H6" s="9" t="str">
        <f t="shared" si="1"/>
        <v>US</v>
      </c>
      <c r="I6" s="9" t="s">
        <v>97</v>
      </c>
    </row>
    <row r="7" spans="1:9" ht="15.75" customHeight="1" x14ac:dyDescent="0.25">
      <c r="A7" s="5" t="s">
        <v>38</v>
      </c>
      <c r="B7" t="str">
        <f ca="1">PROPER(Table1[Product Name])</f>
        <v>T-Shirt</v>
      </c>
      <c r="C7" s="5" t="s">
        <v>39</v>
      </c>
      <c r="D7" s="13">
        <v>30</v>
      </c>
      <c r="E7" s="5">
        <v>5</v>
      </c>
      <c r="F7" s="5" t="s">
        <v>30</v>
      </c>
      <c r="G7" s="15" t="str">
        <f t="shared" si="0"/>
        <v>19-JUL</v>
      </c>
      <c r="H7" s="9" t="str">
        <f t="shared" si="1"/>
        <v>UK</v>
      </c>
      <c r="I7" s="9" t="s">
        <v>98</v>
      </c>
    </row>
    <row r="8" spans="1:9" ht="15.75" customHeight="1" x14ac:dyDescent="0.25">
      <c r="A8" s="8" t="s">
        <v>40</v>
      </c>
      <c r="B8" t="str">
        <f ca="1">PROPER(Table1[Product Name])</f>
        <v>Blender</v>
      </c>
      <c r="C8" s="8" t="s">
        <v>41</v>
      </c>
      <c r="D8" s="14">
        <v>90</v>
      </c>
      <c r="E8" s="8">
        <v>35</v>
      </c>
      <c r="F8" s="8" t="s">
        <v>33</v>
      </c>
      <c r="G8" s="15" t="str">
        <f t="shared" si="0"/>
        <v>23-AUG</v>
      </c>
      <c r="H8" s="9" t="str">
        <f t="shared" si="1"/>
        <v>UK</v>
      </c>
      <c r="I8" s="9" t="s">
        <v>99</v>
      </c>
    </row>
    <row r="9" spans="1:9" ht="15.75" customHeight="1" x14ac:dyDescent="0.25">
      <c r="A9" s="5" t="s">
        <v>42</v>
      </c>
      <c r="B9" t="str">
        <f ca="1">PROPER(Table1[Product Name])</f>
        <v>Tablet</v>
      </c>
      <c r="C9" s="5" t="s">
        <v>43</v>
      </c>
      <c r="D9" s="13">
        <v>500</v>
      </c>
      <c r="E9" s="5">
        <v>50</v>
      </c>
      <c r="F9" s="11" t="s">
        <v>27</v>
      </c>
      <c r="G9" s="15" t="str">
        <f t="shared" si="0"/>
        <v>05-SEP</v>
      </c>
      <c r="H9" s="9" t="str">
        <f t="shared" si="1"/>
        <v>UK</v>
      </c>
      <c r="I9" s="9" t="s">
        <v>100</v>
      </c>
    </row>
    <row r="10" spans="1:9" ht="15.75" customHeight="1" x14ac:dyDescent="0.25">
      <c r="A10" s="8" t="s">
        <v>44</v>
      </c>
      <c r="B10" t="str">
        <f ca="1">PROPER(Table1[Product Name])</f>
        <v>Hiking Boots</v>
      </c>
      <c r="C10" s="8" t="s">
        <v>45</v>
      </c>
      <c r="D10" s="14">
        <v>130</v>
      </c>
      <c r="E10" s="8">
        <v>10</v>
      </c>
      <c r="F10" s="8" t="s">
        <v>46</v>
      </c>
      <c r="G10" s="15" t="str">
        <f t="shared" si="0"/>
        <v>14-OCT</v>
      </c>
      <c r="H10" s="9" t="str">
        <f t="shared" si="1"/>
        <v>UK</v>
      </c>
      <c r="I10" s="9" t="s">
        <v>101</v>
      </c>
    </row>
    <row r="11" spans="1:9" ht="15.75" customHeight="1" x14ac:dyDescent="0.25">
      <c r="A11" s="5" t="s">
        <v>47</v>
      </c>
      <c r="B11" t="str">
        <f ca="1">PROPER(Table1[Product Name])</f>
        <v>Laptop</v>
      </c>
      <c r="C11" s="5" t="s">
        <v>48</v>
      </c>
      <c r="D11" s="13">
        <v>950</v>
      </c>
      <c r="E11" s="5">
        <v>25</v>
      </c>
      <c r="F11" s="11" t="s">
        <v>27</v>
      </c>
      <c r="G11" s="15" t="str">
        <f t="shared" si="0"/>
        <v>17-JUN</v>
      </c>
      <c r="H11" s="9" t="str">
        <f t="shared" si="1"/>
        <v>IN</v>
      </c>
      <c r="I11" s="9" t="s">
        <v>102</v>
      </c>
    </row>
    <row r="12" spans="1:9" ht="15.75" customHeight="1" x14ac:dyDescent="0.25">
      <c r="A12" s="8" t="s">
        <v>49</v>
      </c>
      <c r="B12" t="str">
        <f ca="1">PROPER(Table1[Product Name])</f>
        <v>Sneakers</v>
      </c>
      <c r="C12" s="8" t="s">
        <v>39</v>
      </c>
      <c r="D12" s="14">
        <v>90</v>
      </c>
      <c r="E12" s="8">
        <v>40</v>
      </c>
      <c r="F12" s="9" t="s">
        <v>30</v>
      </c>
      <c r="G12" s="15" t="str">
        <f t="shared" si="0"/>
        <v>25-NOV</v>
      </c>
      <c r="H12" s="9" t="str">
        <f t="shared" si="1"/>
        <v>AU</v>
      </c>
      <c r="I12" s="9" t="s">
        <v>103</v>
      </c>
    </row>
    <row r="13" spans="1:9" ht="15.75" customHeight="1" x14ac:dyDescent="0.25">
      <c r="A13" s="5" t="s">
        <v>50</v>
      </c>
      <c r="B13" t="str">
        <f ca="1">PROPER(Table1[Product Name])</f>
        <v>Coffee Maker</v>
      </c>
      <c r="C13" s="5" t="s">
        <v>51</v>
      </c>
      <c r="D13" s="13">
        <v>120</v>
      </c>
      <c r="E13" s="5">
        <v>35</v>
      </c>
      <c r="F13" s="11" t="s">
        <v>33</v>
      </c>
      <c r="G13" s="15" t="str">
        <f t="shared" si="0"/>
        <v>08-DEC</v>
      </c>
      <c r="H13" s="9" t="str">
        <f t="shared" si="1"/>
        <v>DE</v>
      </c>
      <c r="I13" s="9" t="s">
        <v>104</v>
      </c>
    </row>
    <row r="14" spans="1:9" ht="15.75" customHeight="1" x14ac:dyDescent="0.25">
      <c r="A14" s="8" t="s">
        <v>52</v>
      </c>
      <c r="B14" t="str">
        <f ca="1">PROPER(Table1[Product Name])</f>
        <v>Smartwatch</v>
      </c>
      <c r="C14" s="8" t="s">
        <v>53</v>
      </c>
      <c r="D14" s="14">
        <v>150</v>
      </c>
      <c r="E14" s="8">
        <v>15</v>
      </c>
      <c r="F14" s="8" t="s">
        <v>27</v>
      </c>
      <c r="G14" s="15" t="str">
        <f t="shared" si="0"/>
        <v>18-FEB</v>
      </c>
      <c r="H14" s="9" t="str">
        <f t="shared" si="1"/>
        <v>CA</v>
      </c>
      <c r="I14" s="9" t="s">
        <v>105</v>
      </c>
    </row>
    <row r="15" spans="1:9" ht="15.75" customHeight="1" x14ac:dyDescent="0.25">
      <c r="A15" s="5" t="s">
        <v>54</v>
      </c>
      <c r="B15" t="str">
        <f ca="1">PROPER(Table1[Product Name])</f>
        <v>Headphones</v>
      </c>
      <c r="C15" s="5" t="s">
        <v>55</v>
      </c>
      <c r="D15" s="13">
        <v>250</v>
      </c>
      <c r="E15" s="5">
        <v>20</v>
      </c>
      <c r="F15" s="5" t="s">
        <v>27</v>
      </c>
      <c r="G15" s="15" t="str">
        <f t="shared" si="0"/>
        <v>16-APR</v>
      </c>
      <c r="H15" s="9" t="str">
        <f t="shared" si="1"/>
        <v>ES</v>
      </c>
      <c r="I15" s="9" t="s">
        <v>106</v>
      </c>
    </row>
    <row r="16" spans="1:9" ht="15.75" customHeight="1" x14ac:dyDescent="0.25">
      <c r="A16" s="8" t="s">
        <v>56</v>
      </c>
      <c r="B16" t="str">
        <f ca="1">PROPER(Table1[Product Name])</f>
        <v>Laptop Bag</v>
      </c>
      <c r="C16" s="8" t="s">
        <v>57</v>
      </c>
      <c r="D16" s="14">
        <v>50</v>
      </c>
      <c r="E16" s="8">
        <v>35</v>
      </c>
      <c r="F16" s="8" t="s">
        <v>58</v>
      </c>
      <c r="G16" s="15" t="str">
        <f t="shared" si="0"/>
        <v>21-AUG</v>
      </c>
      <c r="H16" s="9" t="str">
        <f t="shared" si="1"/>
        <v>CA</v>
      </c>
      <c r="I16" s="9" t="s">
        <v>107</v>
      </c>
    </row>
    <row r="17" spans="1:9" ht="15.75" customHeight="1" x14ac:dyDescent="0.25">
      <c r="A17" s="5" t="s">
        <v>59</v>
      </c>
      <c r="B17" t="str">
        <f ca="1">PROPER(Table1[Product Name])</f>
        <v>Smartwatch</v>
      </c>
      <c r="C17" s="5" t="s">
        <v>60</v>
      </c>
      <c r="D17" s="13">
        <v>160</v>
      </c>
      <c r="E17" s="5">
        <v>15</v>
      </c>
      <c r="F17" s="5" t="s">
        <v>27</v>
      </c>
      <c r="G17" s="15" t="str">
        <f t="shared" si="0"/>
        <v>20-AUG</v>
      </c>
      <c r="H17" s="9" t="str">
        <f t="shared" si="1"/>
        <v>CN</v>
      </c>
      <c r="I17" s="9" t="s">
        <v>108</v>
      </c>
    </row>
    <row r="18" spans="1:9" ht="15.75" customHeight="1" x14ac:dyDescent="0.25">
      <c r="A18" s="8" t="s">
        <v>61</v>
      </c>
      <c r="B18" t="str">
        <f ca="1">PROPER(Table1[Product Name])</f>
        <v>Laptop</v>
      </c>
      <c r="C18" s="8" t="s">
        <v>62</v>
      </c>
      <c r="D18" s="14">
        <v>980</v>
      </c>
      <c r="E18" s="8">
        <v>10</v>
      </c>
      <c r="F18" s="9" t="s">
        <v>27</v>
      </c>
      <c r="G18" s="15" t="str">
        <f t="shared" si="0"/>
        <v>27-JAN</v>
      </c>
      <c r="H18" s="9" t="str">
        <f t="shared" si="1"/>
        <v>IT</v>
      </c>
      <c r="I18" s="9" t="s">
        <v>109</v>
      </c>
    </row>
    <row r="19" spans="1:9" ht="15.75" customHeight="1" x14ac:dyDescent="0.25">
      <c r="A19" s="5" t="s">
        <v>63</v>
      </c>
      <c r="B19" t="str">
        <f ca="1">PROPER(Table1[Product Name])</f>
        <v>Sunglasses</v>
      </c>
      <c r="C19" s="5" t="s">
        <v>64</v>
      </c>
      <c r="D19" s="13">
        <v>150</v>
      </c>
      <c r="E19" s="5">
        <v>15</v>
      </c>
      <c r="F19" s="5" t="s">
        <v>30</v>
      </c>
      <c r="G19" s="15" t="str">
        <f t="shared" si="0"/>
        <v>01-MAR</v>
      </c>
      <c r="H19" s="9" t="str">
        <f t="shared" si="1"/>
        <v>UK</v>
      </c>
      <c r="I19" s="9" t="s">
        <v>110</v>
      </c>
    </row>
    <row r="20" spans="1:9" ht="15.75" customHeight="1" x14ac:dyDescent="0.25">
      <c r="A20" s="5" t="s">
        <v>65</v>
      </c>
      <c r="B20" t="str">
        <f ca="1">PROPER(Table1[Product Name])</f>
        <v>Camera</v>
      </c>
      <c r="C20" s="5" t="s">
        <v>66</v>
      </c>
      <c r="D20" s="13">
        <v>700</v>
      </c>
      <c r="E20" s="5">
        <v>50</v>
      </c>
      <c r="F20" s="11" t="s">
        <v>27</v>
      </c>
      <c r="G20" s="15" t="str">
        <f t="shared" si="0"/>
        <v>14-MAY</v>
      </c>
      <c r="H20" s="9" t="str">
        <f t="shared" si="1"/>
        <v>RU</v>
      </c>
      <c r="I20" s="9" t="s">
        <v>111</v>
      </c>
    </row>
    <row r="21" spans="1:9" ht="15.75" customHeight="1" x14ac:dyDescent="0.25">
      <c r="A21" s="8" t="s">
        <v>67</v>
      </c>
      <c r="B21" t="str">
        <f ca="1">PROPER(Table1[Product Name])</f>
        <v>Microwave</v>
      </c>
      <c r="C21" s="8" t="s">
        <v>68</v>
      </c>
      <c r="D21" s="14">
        <v>80</v>
      </c>
      <c r="E21" s="8">
        <v>20</v>
      </c>
      <c r="F21" s="8" t="s">
        <v>33</v>
      </c>
      <c r="G21" s="15" t="str">
        <f t="shared" si="0"/>
        <v>09-JAN</v>
      </c>
      <c r="H21" s="9" t="str">
        <f t="shared" si="1"/>
        <v>CA</v>
      </c>
      <c r="I21" s="9" t="s">
        <v>112</v>
      </c>
    </row>
    <row r="22" spans="1:9" ht="15.75" customHeight="1" x14ac:dyDescent="0.25">
      <c r="A22" s="5" t="s">
        <v>69</v>
      </c>
      <c r="B22" t="str">
        <f ca="1">PROPER(Table1[Product Name])</f>
        <v>Fitness Tracker</v>
      </c>
      <c r="C22" s="5" t="s">
        <v>70</v>
      </c>
      <c r="D22" s="13">
        <v>150</v>
      </c>
      <c r="E22" s="5">
        <v>30</v>
      </c>
      <c r="F22" s="11" t="s">
        <v>27</v>
      </c>
      <c r="G22" s="15" t="str">
        <f t="shared" si="0"/>
        <v>19-JUL</v>
      </c>
      <c r="H22" s="9" t="str">
        <f t="shared" si="1"/>
        <v>BR</v>
      </c>
      <c r="I22" s="9" t="s">
        <v>113</v>
      </c>
    </row>
    <row r="23" spans="1:9" ht="15.75" customHeight="1" x14ac:dyDescent="0.25">
      <c r="A23" s="5" t="s">
        <v>71</v>
      </c>
      <c r="B23" t="str">
        <f ca="1">PROPER(Table1[Product Name])</f>
        <v>Smartphone</v>
      </c>
      <c r="C23" s="5" t="s">
        <v>72</v>
      </c>
      <c r="D23" s="13">
        <v>800</v>
      </c>
      <c r="E23" s="5">
        <v>45</v>
      </c>
      <c r="F23" s="11" t="s">
        <v>27</v>
      </c>
      <c r="G23" s="15" t="str">
        <f t="shared" si="0"/>
        <v>29-SEP</v>
      </c>
      <c r="H23" s="9" t="str">
        <f t="shared" si="1"/>
        <v>CA</v>
      </c>
      <c r="I23" s="9" t="s">
        <v>114</v>
      </c>
    </row>
    <row r="24" spans="1:9" ht="15.75" customHeight="1" x14ac:dyDescent="0.25">
      <c r="A24" s="5" t="s">
        <v>73</v>
      </c>
      <c r="B24" t="str">
        <f ca="1">PROPER(Table1[Product Name])</f>
        <v>Blender</v>
      </c>
      <c r="C24" s="5" t="s">
        <v>74</v>
      </c>
      <c r="D24" s="13">
        <v>400</v>
      </c>
      <c r="E24" s="5">
        <v>40</v>
      </c>
      <c r="F24" s="5" t="s">
        <v>33</v>
      </c>
      <c r="G24" s="15" t="str">
        <f t="shared" si="0"/>
        <v>11-JUL</v>
      </c>
      <c r="H24" s="9" t="str">
        <f t="shared" si="1"/>
        <v>CA</v>
      </c>
      <c r="I24" s="9" t="s">
        <v>115</v>
      </c>
    </row>
    <row r="25" spans="1:9" ht="15.75" customHeight="1" x14ac:dyDescent="0.25">
      <c r="A25" s="5" t="s">
        <v>75</v>
      </c>
      <c r="B25" t="str">
        <f ca="1">PROPER(Table1[Product Name])</f>
        <v>Dress</v>
      </c>
      <c r="C25" s="5" t="s">
        <v>76</v>
      </c>
      <c r="D25" s="13">
        <v>60</v>
      </c>
      <c r="E25" s="5">
        <v>30</v>
      </c>
      <c r="F25" s="5" t="s">
        <v>30</v>
      </c>
      <c r="G25" s="15" t="str">
        <f t="shared" si="0"/>
        <v>07-MAR</v>
      </c>
      <c r="H25" s="9" t="str">
        <f t="shared" si="1"/>
        <v>CA</v>
      </c>
      <c r="I25" s="9" t="s">
        <v>116</v>
      </c>
    </row>
    <row r="26" spans="1:9" ht="15.75" customHeight="1" x14ac:dyDescent="0.25">
      <c r="A26" s="8" t="s">
        <v>77</v>
      </c>
      <c r="B26" t="str">
        <f ca="1">PROPER(Table1[Product Name])</f>
        <v>Toaster</v>
      </c>
      <c r="C26" s="8" t="s">
        <v>78</v>
      </c>
      <c r="D26" s="14">
        <v>40</v>
      </c>
      <c r="E26" s="8">
        <v>10</v>
      </c>
      <c r="F26" s="8" t="s">
        <v>33</v>
      </c>
      <c r="G26" s="15" t="str">
        <f t="shared" si="0"/>
        <v>13-APR</v>
      </c>
      <c r="H26" s="9" t="str">
        <f t="shared" si="1"/>
        <v>CA</v>
      </c>
      <c r="I26" s="9" t="s">
        <v>117</v>
      </c>
    </row>
    <row r="27" spans="1:9" ht="15.75" customHeight="1" x14ac:dyDescent="0.25">
      <c r="A27" s="5" t="s">
        <v>79</v>
      </c>
      <c r="B27" t="str">
        <f ca="1">PROPER(Table1[Product Name])</f>
        <v>Fitness Tracker</v>
      </c>
      <c r="C27" s="5" t="s">
        <v>80</v>
      </c>
      <c r="D27" s="13">
        <v>130</v>
      </c>
      <c r="E27" s="5">
        <v>5</v>
      </c>
      <c r="F27" s="11" t="s">
        <v>27</v>
      </c>
      <c r="G27" s="15" t="str">
        <f t="shared" si="0"/>
        <v>24-MAY</v>
      </c>
      <c r="H27" s="9" t="str">
        <f t="shared" si="1"/>
        <v>CA</v>
      </c>
      <c r="I27" s="9" t="s">
        <v>118</v>
      </c>
    </row>
    <row r="28" spans="1:9" ht="15.75" customHeight="1" x14ac:dyDescent="0.25">
      <c r="A28" s="8" t="s">
        <v>81</v>
      </c>
      <c r="B28" t="str">
        <f ca="1">PROPER(Table1[Product Name])</f>
        <v>Jeans</v>
      </c>
      <c r="C28" s="8" t="s">
        <v>82</v>
      </c>
      <c r="D28" s="14">
        <v>50</v>
      </c>
      <c r="E28" s="8">
        <v>50</v>
      </c>
      <c r="F28" s="8" t="s">
        <v>30</v>
      </c>
      <c r="G28" s="15" t="str">
        <f t="shared" si="0"/>
        <v>02-DEC</v>
      </c>
      <c r="H28" s="9" t="str">
        <f t="shared" si="1"/>
        <v>CA</v>
      </c>
      <c r="I28" s="9" t="s">
        <v>119</v>
      </c>
    </row>
    <row r="29" spans="1:9" ht="15.75" customHeight="1" x14ac:dyDescent="0.25">
      <c r="A29" s="8" t="s">
        <v>83</v>
      </c>
      <c r="B29" t="str">
        <f ca="1">PROPER(Table1[Product Name])</f>
        <v>Watch</v>
      </c>
      <c r="C29" s="8" t="s">
        <v>84</v>
      </c>
      <c r="D29" s="14">
        <v>100</v>
      </c>
      <c r="E29" s="8">
        <v>20</v>
      </c>
      <c r="F29" s="8" t="s">
        <v>58</v>
      </c>
      <c r="G29" s="15" t="str">
        <f t="shared" si="0"/>
        <v>09-JUL</v>
      </c>
      <c r="H29" s="9" t="str">
        <f t="shared" si="1"/>
        <v>FR</v>
      </c>
      <c r="I29" s="9" t="s">
        <v>120</v>
      </c>
    </row>
    <row r="30" spans="1:9" ht="15.75" customHeight="1" x14ac:dyDescent="0.25">
      <c r="H30" s="12"/>
      <c r="I30" s="12"/>
    </row>
    <row r="31" spans="1:9" ht="15.75" customHeight="1" x14ac:dyDescent="0.25"/>
    <row r="32" spans="1:9" ht="15.75" customHeight="1" x14ac:dyDescent="0.25"/>
    <row r="33" spans="1:8" ht="15.75" customHeight="1" x14ac:dyDescent="0.25"/>
    <row r="34" spans="1:8" ht="15.75" customHeight="1" x14ac:dyDescent="0.3">
      <c r="A34" s="17" t="s">
        <v>1</v>
      </c>
      <c r="B34" s="18"/>
      <c r="C34" s="18"/>
      <c r="D34" s="18"/>
      <c r="E34" s="18"/>
      <c r="F34" s="18"/>
      <c r="G34" s="18"/>
      <c r="H34" s="18"/>
    </row>
    <row r="35" spans="1:8" ht="15.75" customHeight="1" x14ac:dyDescent="0.3">
      <c r="A35" s="18"/>
      <c r="B35" s="19" t="s">
        <v>2</v>
      </c>
      <c r="C35" s="18"/>
      <c r="D35" s="18"/>
      <c r="E35" s="18"/>
      <c r="F35" s="18"/>
      <c r="G35" s="18"/>
      <c r="H35" s="18"/>
    </row>
    <row r="36" spans="1:8" ht="15.75" customHeight="1" x14ac:dyDescent="0.25">
      <c r="A36" s="18" t="s">
        <v>85</v>
      </c>
      <c r="B36" s="18"/>
      <c r="C36" s="18"/>
      <c r="D36" s="18"/>
      <c r="E36" s="18"/>
      <c r="F36" s="18" t="s">
        <v>121</v>
      </c>
      <c r="G36" s="18" t="s">
        <v>86</v>
      </c>
      <c r="H36" s="18"/>
    </row>
    <row r="37" spans="1:8" ht="15.75" customHeight="1" x14ac:dyDescent="0.25">
      <c r="A37" s="18" t="s">
        <v>87</v>
      </c>
      <c r="B37" s="18"/>
      <c r="C37" s="18"/>
      <c r="D37" s="18"/>
      <c r="E37" s="18"/>
      <c r="F37" s="18"/>
      <c r="G37" s="18"/>
      <c r="H37" s="18"/>
    </row>
    <row r="38" spans="1:8" ht="15.75" customHeight="1" x14ac:dyDescent="0.3">
      <c r="A38" s="18"/>
      <c r="B38" s="19" t="s">
        <v>3</v>
      </c>
      <c r="C38" s="18"/>
      <c r="D38" s="18"/>
      <c r="E38" s="18"/>
      <c r="F38" s="18"/>
      <c r="G38" s="18"/>
      <c r="H38" s="18"/>
    </row>
    <row r="39" spans="1:8" ht="15.75" customHeight="1" x14ac:dyDescent="0.25">
      <c r="A39" s="18" t="s">
        <v>88</v>
      </c>
      <c r="B39" s="18"/>
      <c r="C39" s="18"/>
      <c r="D39" s="18"/>
      <c r="E39" s="18"/>
      <c r="F39" s="18"/>
      <c r="G39" s="18"/>
      <c r="H39" s="18"/>
    </row>
    <row r="40" spans="1:8" ht="15.75" customHeight="1" x14ac:dyDescent="0.3">
      <c r="A40" s="18"/>
      <c r="B40" s="17" t="s">
        <v>8</v>
      </c>
      <c r="C40" s="18"/>
      <c r="D40" s="18"/>
      <c r="E40" s="18"/>
      <c r="F40" s="18"/>
      <c r="G40" s="18"/>
      <c r="H40" s="18"/>
    </row>
    <row r="41" spans="1:8" ht="15.75" customHeight="1" x14ac:dyDescent="0.3">
      <c r="A41" s="18"/>
      <c r="B41" s="17"/>
      <c r="C41" s="19" t="s">
        <v>9</v>
      </c>
      <c r="D41" s="18"/>
      <c r="E41" s="18"/>
      <c r="F41" s="18"/>
      <c r="G41" s="18"/>
      <c r="H41" s="18"/>
    </row>
    <row r="42" spans="1:8" ht="15.75" customHeight="1" x14ac:dyDescent="0.25">
      <c r="A42" s="18" t="s">
        <v>89</v>
      </c>
      <c r="B42" s="18"/>
      <c r="C42" s="18"/>
      <c r="D42" s="18"/>
      <c r="E42" s="18"/>
      <c r="F42" s="18"/>
      <c r="G42" s="18"/>
      <c r="H42" s="18"/>
    </row>
    <row r="43" spans="1:8" ht="15.75" customHeight="1" x14ac:dyDescent="0.25">
      <c r="A43" s="18"/>
      <c r="B43" s="18"/>
      <c r="C43" s="18"/>
      <c r="D43" s="18"/>
      <c r="E43" s="18"/>
      <c r="F43" s="18"/>
      <c r="G43" s="18"/>
      <c r="H43" s="18"/>
    </row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honeticPr fontId="10" type="noConversion"/>
  <conditionalFormatting sqref="D2:D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{D3185B75-A780-483C-BD8D-46F933C3037F}</x14:id>
        </ext>
      </extLst>
    </cfRule>
  </conditionalFormatting>
  <conditionalFormatting sqref="F2:F29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185B75-A780-483C-BD8D-46F933C30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F483EB-3B91-424C-94C9-0043DE86E4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2026-09-23T14:32:23Z</dcterms:created>
  <dcterms:modified xsi:type="dcterms:W3CDTF">2026-09-24T05:25:58Z</dcterms:modified>
</cp:coreProperties>
</file>